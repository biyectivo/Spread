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yec\GameMakerProjects\Other Mine\Spread\datafiles\"/>
    </mc:Choice>
  </mc:AlternateContent>
  <xr:revisionPtr revIDLastSave="0" documentId="13_ncr:1_{6EF7F8B9-3FF3-4C8B-BD0C-BE70B1E5F746}" xr6:coauthVersionLast="47" xr6:coauthVersionMax="47" xr10:uidLastSave="{00000000-0000-0000-0000-000000000000}"/>
  <bookViews>
    <workbookView xWindow="14328" yWindow="13548" windowWidth="22416" windowHeight="9984" xr2:uid="{4F78AFE7-D6EA-4F35-AA43-EEE94C22C300}"/>
  </bookViews>
  <sheets>
    <sheet name="Items" sheetId="1" r:id="rId1"/>
    <sheet name="Others" sheetId="3" r:id="rId2"/>
    <sheet name="Monsters" sheetId="2" r:id="rId3"/>
  </sheets>
  <definedNames>
    <definedName name="my_named">Items!$C$5:$F$7</definedName>
    <definedName name="powers">Items!$M$2:$O$5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F5" i="1"/>
  <c r="F3" i="1"/>
  <c r="G6" i="1"/>
  <c r="G4" i="1"/>
  <c r="G8" i="1"/>
  <c r="C7" i="1"/>
</calcChain>
</file>

<file path=xl/sharedStrings.xml><?xml version="1.0" encoding="utf-8"?>
<sst xmlns="http://schemas.openxmlformats.org/spreadsheetml/2006/main" count="33" uniqueCount="29">
  <si>
    <t>item</t>
  </si>
  <si>
    <t>attack</t>
  </si>
  <si>
    <t>can_break</t>
  </si>
  <si>
    <t>id</t>
  </si>
  <si>
    <t>sword</t>
  </si>
  <si>
    <t>range</t>
  </si>
  <si>
    <t>power_attack</t>
  </si>
  <si>
    <t>bow</t>
  </si>
  <si>
    <t xml:space="preserve">crossbow </t>
  </si>
  <si>
    <t>fire wand</t>
  </si>
  <si>
    <t>staff of destruction</t>
  </si>
  <si>
    <t>monster</t>
  </si>
  <si>
    <t>hp</t>
  </si>
  <si>
    <t>spd</t>
  </si>
  <si>
    <t>slime</t>
  </si>
  <si>
    <t>spider</t>
  </si>
  <si>
    <t>bat</t>
  </si>
  <si>
    <t>Y</t>
  </si>
  <si>
    <t>power</t>
  </si>
  <si>
    <t>power_id</t>
  </si>
  <si>
    <t>description</t>
  </si>
  <si>
    <t>value</t>
  </si>
  <si>
    <t>p1</t>
  </si>
  <si>
    <t>p2</t>
  </si>
  <si>
    <t>p3</t>
  </si>
  <si>
    <t>first level</t>
  </si>
  <si>
    <t>third level</t>
  </si>
  <si>
    <t>second level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</si>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</sst>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badi Extra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3AAD-1C86-48AC-9E87-A54614A0E569}">
  <dimension ref="B2:O8"/>
  <sheetViews>
    <sheetView tabSelected="1" workbookViewId="0">
      <selection activeCell="H4" sqref="H4"/>
    </sheetView>
  </sheetViews>
  <sheetFormatPr defaultRowHeight="14.4" x14ac:dyDescent="0.3"/>
  <cols>
    <col min="2" max="2" width="5.21875" customWidth="1"/>
    <col min="3" max="3" width="26.5546875" customWidth="1"/>
    <col min="6" max="6" width="12.77734375" bestFit="1" customWidth="1"/>
  </cols>
  <sheetData>
    <row r="2" spans="2:15" ht="26.4" customHeight="1" x14ac:dyDescent="0.3">
      <c r="B2" s="4" t="s">
        <v>3</v>
      </c>
      <c r="C2" s="4" t="s">
        <v>0</v>
      </c>
      <c r="D2" s="4" t="s">
        <v>5</v>
      </c>
      <c r="E2" s="4" t="s">
        <v>1</v>
      </c>
      <c r="F2" s="4" t="s">
        <v>6</v>
      </c>
      <c r="G2" s="4" t="s">
        <v>2</v>
      </c>
      <c r="H2" s="4" t="s">
        <v>18</v>
      </c>
      <c r="M2" t="s">
        <v>19</v>
      </c>
      <c r="N2" t="s">
        <v>20</v>
      </c>
      <c r="O2" t="s">
        <v>21</v>
      </c>
    </row>
    <row r="3" spans="2:15" ht="26.4" customHeight="1" x14ac:dyDescent="0.3">
      <c r="B3" s="5">
        <v>1</v>
      </c>
      <c r="C3" t="s">
        <v>7</v>
      </c>
      <c r="D3">
        <v>1</v>
      </c>
      <c r="E3">
        <v>2</v>
      </c>
      <c r="F3">
        <f>E3*2</f>
        <v>4</v>
      </c>
      <c r="G3" s="3">
        <v>1</v>
      </c>
      <c r="M3" t="s">
        <v>22</v>
      </c>
      <c r="N3" t="s">
        <v>25</v>
      </c>
      <c r="O3">
        <v>1</v>
      </c>
    </row>
    <row r="4" spans="2:15" ht="26.4" customHeight="1" x14ac:dyDescent="0.3">
      <c r="B4" s="5">
        <v>2</v>
      </c>
      <c r="C4" t="s">
        <v>8</v>
      </c>
      <c r="D4">
        <v>2</v>
      </c>
      <c r="E4">
        <v>2</v>
      </c>
      <c r="G4" s="3" t="b">
        <f>TRUE</f>
        <v>1</v>
      </c>
      <c r="H4" t="s">
        <v>28</v>
      </c>
      <c r="M4" t="s">
        <v>23</v>
      </c>
      <c r="N4" t="s">
        <v>27</v>
      </c>
      <c r="O4">
        <v>5</v>
      </c>
    </row>
    <row r="5" spans="2:15" ht="26.4" customHeight="1" x14ac:dyDescent="0.3">
      <c r="B5" s="5">
        <v>3</v>
      </c>
      <c r="C5" t="s">
        <v>9</v>
      </c>
      <c r="D5">
        <v>2</v>
      </c>
      <c r="E5">
        <v>3</v>
      </c>
      <c r="F5">
        <f t="shared" ref="F4:F8" si="0">E5*2</f>
        <v>6</v>
      </c>
      <c r="G5" s="3" t="s">
        <v>17</v>
      </c>
      <c r="M5" t="s">
        <v>24</v>
      </c>
      <c r="N5" t="s">
        <v>26</v>
      </c>
      <c r="O5">
        <v>21</v>
      </c>
    </row>
    <row r="6" spans="2:15" ht="26.4" customHeight="1" x14ac:dyDescent="0.3">
      <c r="B6" s="5">
        <v>4</v>
      </c>
      <c r="C6" t="s">
        <v>10</v>
      </c>
      <c r="D6">
        <v>0.5</v>
      </c>
      <c r="E6">
        <v>8</v>
      </c>
      <c r="F6">
        <v>4.25</v>
      </c>
      <c r="G6" s="3" t="b">
        <f>FALSE</f>
        <v>0</v>
      </c>
      <c r="H6" t="s">
        <v>23</v>
      </c>
    </row>
    <row r="7" spans="2:15" ht="26.4" customHeight="1" x14ac:dyDescent="0.3">
      <c r="B7" s="5">
        <v>5</v>
      </c>
      <c r="C7" t="str">
        <f>"coil of the sacred"</f>
        <v>coil of the sacred</v>
      </c>
      <c r="D7">
        <v>4</v>
      </c>
      <c r="E7">
        <v>6</v>
      </c>
      <c r="F7">
        <v>8.1999999999999993</v>
      </c>
      <c r="G7" s="3" t="b">
        <v>1</v>
      </c>
      <c r="H7" t="s">
        <v>24</v>
      </c>
    </row>
    <row r="8" spans="2:15" ht="26.4" customHeight="1" x14ac:dyDescent="0.3">
      <c r="B8" s="5">
        <v>6</v>
      </c>
      <c r="C8" t="s">
        <v>4</v>
      </c>
      <c r="D8">
        <v>3</v>
      </c>
      <c r="E8" s="2">
        <v>3</v>
      </c>
      <c r="F8">
        <f>IF(E8=3,1,0)</f>
        <v>1</v>
      </c>
      <c r="G8" s="3" t="b">
        <f>TRUE</f>
        <v>1</v>
      </c>
      <c r="H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049A-BB92-4092-98D0-27C0B6A064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7FE3-F747-44A2-B918-3E58803B642A}">
  <dimension ref="C5:F8"/>
  <sheetViews>
    <sheetView workbookViewId="0">
      <selection activeCell="E8" sqref="E8"/>
    </sheetView>
  </sheetViews>
  <sheetFormatPr defaultRowHeight="14.4" x14ac:dyDescent="0.3"/>
  <sheetData>
    <row r="5" spans="3:6" x14ac:dyDescent="0.3">
      <c r="C5" s="1" t="s">
        <v>11</v>
      </c>
      <c r="D5" s="1" t="s">
        <v>14</v>
      </c>
      <c r="E5" s="1" t="s">
        <v>15</v>
      </c>
      <c r="F5" s="1" t="s">
        <v>16</v>
      </c>
    </row>
    <row r="6" spans="3:6" x14ac:dyDescent="0.3">
      <c r="C6" t="s">
        <v>12</v>
      </c>
      <c r="D6">
        <v>4</v>
      </c>
      <c r="E6">
        <v>7</v>
      </c>
      <c r="F6">
        <v>3</v>
      </c>
    </row>
    <row r="7" spans="3:6" x14ac:dyDescent="0.3">
      <c r="C7" t="s">
        <v>13</v>
      </c>
      <c r="D7">
        <v>1</v>
      </c>
      <c r="E7" s="2">
        <v>2</v>
      </c>
      <c r="F7">
        <v>4</v>
      </c>
    </row>
    <row r="8" spans="3:6" x14ac:dyDescent="0.3">
      <c r="C8" t="s">
        <v>5</v>
      </c>
      <c r="D8">
        <v>-1</v>
      </c>
      <c r="F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Items</vt:lpstr>
      <vt:lpstr>Others</vt:lpstr>
      <vt:lpstr>Monsters</vt:lpstr>
      <vt:lpstr>my_named</vt:lpstr>
      <vt:lpstr>powers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Bonilla Vera</dc:creator>
  <cp:lastModifiedBy>José Alberto Bonilla Vera</cp:lastModifiedBy>
  <dcterms:created xsi:type="dcterms:W3CDTF">2026-07-05T03:19:30Z</dcterms:created>
  <dcterms:modified xsi:type="dcterms:W3CDTF">2026-07-11T04:42:01Z</dcterms:modified>
</cp:coreProperties>
</file>